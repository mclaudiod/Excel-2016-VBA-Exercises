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audio\Desktop\Programming\Excel 2016 VBA Exercises\Exercise Files\"/>
    </mc:Choice>
  </mc:AlternateContent>
  <xr:revisionPtr revIDLastSave="0" documentId="13_ncr:1_{20417D62-C1EC-415E-A961-DEF523513E6C}" xr6:coauthVersionLast="46" xr6:coauthVersionMax="46" xr10:uidLastSave="{00000000-0000-0000-0000-000000000000}"/>
  <bookViews>
    <workbookView xWindow="-120" yWindow="-120" windowWidth="29040" windowHeight="15840" firstSheet="2" activeTab="6" xr2:uid="{00000000-000D-0000-FFFF-FFFF00000000}"/>
  </bookViews>
  <sheets>
    <sheet name="SE Team" sheetId="53" r:id="rId1"/>
    <sheet name="SE Clients" sheetId="54" r:id="rId2"/>
    <sheet name="SE Marketing" sheetId="55" r:id="rId3"/>
    <sheet name="SE Sales" sheetId="56" r:id="rId4"/>
    <sheet name="NE Clients" sheetId="58" r:id="rId5"/>
    <sheet name="NE Marketing" sheetId="59" r:id="rId6"/>
    <sheet name="NE Team" sheetId="57" r:id="rId7"/>
    <sheet name="NE Sales" sheetId="60" r:id="rId8"/>
    <sheet name="MW Team" sheetId="61" r:id="rId9"/>
    <sheet name="MW Clients" sheetId="62" r:id="rId10"/>
    <sheet name="MW Marketing" sheetId="63" r:id="rId11"/>
    <sheet name="MW Sales" sheetId="64" r:id="rId12"/>
    <sheet name="SW Team" sheetId="65" r:id="rId13"/>
    <sheet name="SW Clients" sheetId="66" r:id="rId14"/>
    <sheet name="SW Marketing" sheetId="67" r:id="rId15"/>
    <sheet name="SW Sales" sheetId="68" r:id="rId16"/>
    <sheet name="NW Team" sheetId="69" r:id="rId17"/>
    <sheet name="NW Clients" sheetId="70" r:id="rId18"/>
    <sheet name="NW Marketing" sheetId="71" r:id="rId19"/>
    <sheet name="NW Sales" sheetId="72" r:id="rId20"/>
    <sheet name="FW Team" sheetId="73" r:id="rId21"/>
    <sheet name="FW Clients" sheetId="74" r:id="rId22"/>
    <sheet name="FW Marketing" sheetId="75" r:id="rId23"/>
    <sheet name="FW Sales" sheetId="76" r:id="rId24"/>
  </sheets>
  <calcPr calcId="181029"/>
</workbook>
</file>

<file path=xl/calcChain.xml><?xml version="1.0" encoding="utf-8"?>
<calcChain xmlns="http://schemas.openxmlformats.org/spreadsheetml/2006/main">
  <c r="D10" i="68" l="1"/>
  <c r="D9" i="68"/>
  <c r="D8" i="68"/>
  <c r="D7" i="68"/>
  <c r="D6" i="68"/>
  <c r="D10" i="64"/>
  <c r="D9" i="64"/>
  <c r="D8" i="64"/>
  <c r="D7" i="64"/>
  <c r="D6" i="64"/>
  <c r="D11" i="60"/>
  <c r="D10" i="60"/>
  <c r="D9" i="60"/>
  <c r="D8" i="60"/>
  <c r="D7" i="60"/>
  <c r="D10" i="56"/>
  <c r="D9" i="56"/>
  <c r="D8" i="56"/>
  <c r="D7" i="56"/>
  <c r="D6" i="56"/>
</calcChain>
</file>

<file path=xl/sharedStrings.xml><?xml version="1.0" encoding="utf-8"?>
<sst xmlns="http://schemas.openxmlformats.org/spreadsheetml/2006/main" count="488" uniqueCount="224">
  <si>
    <t>Sales Rep</t>
  </si>
  <si>
    <t>Williams, Brad</t>
  </si>
  <si>
    <t>Smith, Fred</t>
  </si>
  <si>
    <t>VP Northeast</t>
  </si>
  <si>
    <t>Peters, Lester</t>
  </si>
  <si>
    <t>555-4834</t>
  </si>
  <si>
    <t>Sales Manager</t>
  </si>
  <si>
    <t>North, Mary</t>
  </si>
  <si>
    <t>555-4832</t>
  </si>
  <si>
    <t>Marks, Phil</t>
  </si>
  <si>
    <t>Jones, Tina</t>
  </si>
  <si>
    <t>Exec Asst</t>
  </si>
  <si>
    <t>Howard, Melissa</t>
  </si>
  <si>
    <t>Sr Sales Rep</t>
  </si>
  <si>
    <t>Holloway, Clyde</t>
  </si>
  <si>
    <t>Sales Assoc</t>
  </si>
  <si>
    <t>Clark, Peter</t>
  </si>
  <si>
    <t>555-3938</t>
  </si>
  <si>
    <t>Anthony, Sheila</t>
  </si>
  <si>
    <t>555-3928</t>
  </si>
  <si>
    <t>Anderson, Jane</t>
  </si>
  <si>
    <t>Phone:</t>
  </si>
  <si>
    <t>Title:</t>
  </si>
  <si>
    <t>Name:</t>
  </si>
  <si>
    <t>Sales Team</t>
  </si>
  <si>
    <t>Northeast Division</t>
  </si>
  <si>
    <t>555-3215</t>
  </si>
  <si>
    <t>Zardick, Ione</t>
  </si>
  <si>
    <t>ReDux</t>
  </si>
  <si>
    <t>555-3925</t>
  </si>
  <si>
    <t>Richards, Henry</t>
  </si>
  <si>
    <t>PlanDax</t>
  </si>
  <si>
    <t>555-1748</t>
  </si>
  <si>
    <t>Yardley, Fran</t>
  </si>
  <si>
    <t>PeriScape</t>
  </si>
  <si>
    <t>555-7294</t>
  </si>
  <si>
    <t>Ulrich, Ursula</t>
  </si>
  <si>
    <t>GrayPane</t>
  </si>
  <si>
    <t>555-3913</t>
  </si>
  <si>
    <t>Thompson, Rich</t>
  </si>
  <si>
    <t>GlayDon</t>
  </si>
  <si>
    <t>555-3921</t>
  </si>
  <si>
    <t>Thomas, Mary</t>
  </si>
  <si>
    <t>FrontPlane</t>
  </si>
  <si>
    <t>555-3028</t>
  </si>
  <si>
    <t>Smith, Bill</t>
  </si>
  <si>
    <t>CatCom, Inc.</t>
  </si>
  <si>
    <t>555-2813</t>
  </si>
  <si>
    <t>Green, Mark</t>
  </si>
  <si>
    <t>CastorOn</t>
  </si>
  <si>
    <t>Yearly Sales:</t>
  </si>
  <si>
    <t>Contact:</t>
  </si>
  <si>
    <t>Firm:</t>
  </si>
  <si>
    <t>Tier:</t>
  </si>
  <si>
    <t>Client List</t>
  </si>
  <si>
    <t>CW</t>
  </si>
  <si>
    <t>Full Line</t>
  </si>
  <si>
    <t>N/A</t>
  </si>
  <si>
    <t>In-person Cold Calls</t>
  </si>
  <si>
    <t>TW</t>
  </si>
  <si>
    <t>MiniWidge</t>
  </si>
  <si>
    <t>Email List</t>
  </si>
  <si>
    <t>CA</t>
  </si>
  <si>
    <t>UltraWidge</t>
  </si>
  <si>
    <t>Telemarketing</t>
  </si>
  <si>
    <t>NC</t>
  </si>
  <si>
    <t>Rebate</t>
  </si>
  <si>
    <t>Sales:</t>
  </si>
  <si>
    <t>Target Segment Code:</t>
  </si>
  <si>
    <t>Products Affected:</t>
  </si>
  <si>
    <t>Inception Date:</t>
  </si>
  <si>
    <t>Plan:</t>
  </si>
  <si>
    <t>Marketing Initiatives</t>
  </si>
  <si>
    <t>Pct/Quota:</t>
  </si>
  <si>
    <t>Quota:</t>
  </si>
  <si>
    <t>Rep:</t>
  </si>
  <si>
    <t>Sales Data</t>
  </si>
  <si>
    <t>Southeast Division</t>
  </si>
  <si>
    <t>Nichols, Pam</t>
  </si>
  <si>
    <t>PlavDol</t>
  </si>
  <si>
    <t>Blaylock, Sid</t>
  </si>
  <si>
    <t>Nebelor</t>
  </si>
  <si>
    <t>Renard, Jennifer</t>
  </si>
  <si>
    <t>Hadlon</t>
  </si>
  <si>
    <t>Quinn, Gerry</t>
  </si>
  <si>
    <t>GlorDan</t>
  </si>
  <si>
    <t>Plotts, Frieda</t>
  </si>
  <si>
    <t>ForCost</t>
  </si>
  <si>
    <t>Handley, Gladys</t>
  </si>
  <si>
    <t>DonDrel</t>
  </si>
  <si>
    <t>Jessup, Sally</t>
  </si>
  <si>
    <t>BlastOn</t>
  </si>
  <si>
    <t>Murray, Pete</t>
  </si>
  <si>
    <t>BackLeap</t>
  </si>
  <si>
    <t>Sales</t>
  </si>
  <si>
    <t>Mid-west Division</t>
  </si>
  <si>
    <t>Gelb, Marilyn</t>
  </si>
  <si>
    <t>UNOL</t>
  </si>
  <si>
    <t>Clampers, Ida</t>
  </si>
  <si>
    <t>UniVal</t>
  </si>
  <si>
    <t>Black, Trey</t>
  </si>
  <si>
    <t>TrexOr</t>
  </si>
  <si>
    <t>Yelkey, Stan</t>
  </si>
  <si>
    <t>TransMar</t>
  </si>
  <si>
    <t>Grunwald, Fran</t>
  </si>
  <si>
    <t>SpelCast</t>
  </si>
  <si>
    <t>Brown, Chris</t>
  </si>
  <si>
    <t>RealPort</t>
  </si>
  <si>
    <t>Rose, Mike</t>
  </si>
  <si>
    <t>OneRoll</t>
  </si>
  <si>
    <t>Weis, Harold</t>
  </si>
  <si>
    <t>HalTrax</t>
  </si>
  <si>
    <t>Southwest Division</t>
  </si>
  <si>
    <t>Hand, Mark</t>
  </si>
  <si>
    <t>UniverSol</t>
  </si>
  <si>
    <t>Gladstone, Lisa</t>
  </si>
  <si>
    <t>UniTron</t>
  </si>
  <si>
    <t>Wilkers, William</t>
  </si>
  <si>
    <t>QuipLon</t>
  </si>
  <si>
    <t>Quill, Fred</t>
  </si>
  <si>
    <t>Klaxmore</t>
  </si>
  <si>
    <t>Treybold, Fran</t>
  </si>
  <si>
    <t>Harlon</t>
  </si>
  <si>
    <t>Langley, Larry</t>
  </si>
  <si>
    <t>Frontonics</t>
  </si>
  <si>
    <t>Pinkerton, Mark</t>
  </si>
  <si>
    <t>DyLar</t>
  </si>
  <si>
    <t>Drennan, Dean</t>
  </si>
  <si>
    <t>Drennen, Inc.</t>
  </si>
  <si>
    <t>Clark, Pam</t>
  </si>
  <si>
    <t>Walters, Fred</t>
  </si>
  <si>
    <t>Elliston, Dan</t>
  </si>
  <si>
    <t>Grunwald, Tim</t>
  </si>
  <si>
    <t>Harroldsen, Mike</t>
  </si>
  <si>
    <t>Northwest Division</t>
  </si>
  <si>
    <t>Far-west Division</t>
  </si>
  <si>
    <t>Our Global Company</t>
  </si>
  <si>
    <t>555-3953</t>
  </si>
  <si>
    <t>555-3956</t>
  </si>
  <si>
    <t>555-3891</t>
  </si>
  <si>
    <t>Smith, Jeff</t>
  </si>
  <si>
    <t>555-3945</t>
  </si>
  <si>
    <t>555-4886</t>
  </si>
  <si>
    <t>555-4838</t>
  </si>
  <si>
    <t>VP Southeast</t>
  </si>
  <si>
    <t>555-4797</t>
  </si>
  <si>
    <t>555-4835</t>
  </si>
  <si>
    <t>Jacob, Sam</t>
  </si>
  <si>
    <t>555-5983</t>
  </si>
  <si>
    <t>Matthews, Linda</t>
  </si>
  <si>
    <t>555-5968</t>
  </si>
  <si>
    <t>Peters, John</t>
  </si>
  <si>
    <t>555-5962</t>
  </si>
  <si>
    <t>Abraham, Carol</t>
  </si>
  <si>
    <t>555-5875</t>
  </si>
  <si>
    <t>Watson, Mike</t>
  </si>
  <si>
    <t>VP Midwest</t>
  </si>
  <si>
    <t>555-5896</t>
  </si>
  <si>
    <t>Simmons, Tom</t>
  </si>
  <si>
    <t>555-5924</t>
  </si>
  <si>
    <t>Collins, Jeremy</t>
  </si>
  <si>
    <t>555-7828</t>
  </si>
  <si>
    <t>Stark, Samantha</t>
  </si>
  <si>
    <t>555-7839</t>
  </si>
  <si>
    <t>Merwin, Roy</t>
  </si>
  <si>
    <t>555-7857</t>
  </si>
  <si>
    <t>Randall, Derek</t>
  </si>
  <si>
    <t>555-7863</t>
  </si>
  <si>
    <t>Sherwood, Marge</t>
  </si>
  <si>
    <t>VP Southwest</t>
  </si>
  <si>
    <t>555-7992</t>
  </si>
  <si>
    <t>Sanders, Paul</t>
  </si>
  <si>
    <t>555-7849</t>
  </si>
  <si>
    <t>Cook, Arthur</t>
  </si>
  <si>
    <t>555-9787</t>
  </si>
  <si>
    <t>Russell, Thomas</t>
  </si>
  <si>
    <t>555-9793</t>
  </si>
  <si>
    <t>Meadows, Alistair</t>
  </si>
  <si>
    <t>555-9782</t>
  </si>
  <si>
    <t>Darcy, Shaun</t>
  </si>
  <si>
    <t>555-9765</t>
  </si>
  <si>
    <t>Mason, Lionel</t>
  </si>
  <si>
    <t>VP Northwest</t>
  </si>
  <si>
    <t>555-9898</t>
  </si>
  <si>
    <t>Matthews, Chris</t>
  </si>
  <si>
    <t>555-9756</t>
  </si>
  <si>
    <t>TriMark Inc</t>
  </si>
  <si>
    <t>Wells, John</t>
  </si>
  <si>
    <t>555-4338</t>
  </si>
  <si>
    <t>MagykTronics</t>
  </si>
  <si>
    <t>Derby, Ally</t>
  </si>
  <si>
    <t>555-2357</t>
  </si>
  <si>
    <t>UniMark</t>
  </si>
  <si>
    <t>Saxon, Payton</t>
  </si>
  <si>
    <t>555-1344</t>
  </si>
  <si>
    <t>MultiCast</t>
  </si>
  <si>
    <t>Summers, Bertha</t>
  </si>
  <si>
    <t>555-3521</t>
  </si>
  <si>
    <t>ForEver</t>
  </si>
  <si>
    <t>Wisconsin, Daniel</t>
  </si>
  <si>
    <t>555-1798</t>
  </si>
  <si>
    <t>Moss, Caroline</t>
  </si>
  <si>
    <t>555-0034</t>
  </si>
  <si>
    <t>Donald, Sarah</t>
  </si>
  <si>
    <t>555-0039</t>
  </si>
  <si>
    <t>Drew, Shayne</t>
  </si>
  <si>
    <t>555-0043</t>
  </si>
  <si>
    <t>Addison, Maggie</t>
  </si>
  <si>
    <t>555-0026</t>
  </si>
  <si>
    <t>Jamieson, Abner</t>
  </si>
  <si>
    <t>VP Far-west</t>
  </si>
  <si>
    <t>555-0019</t>
  </si>
  <si>
    <t>Thorne, James</t>
  </si>
  <si>
    <t>555-0029</t>
  </si>
  <si>
    <t>24x7</t>
  </si>
  <si>
    <t>Yardley, Klaus</t>
  </si>
  <si>
    <t>ASP Electronics</t>
  </si>
  <si>
    <t>Yong, Susan</t>
  </si>
  <si>
    <t>Synergy Inc</t>
  </si>
  <si>
    <t>Yale, Allanah</t>
  </si>
  <si>
    <t>Ristell Sons</t>
  </si>
  <si>
    <t>Cagney, Bryce</t>
  </si>
  <si>
    <t>Rudison Inc.</t>
  </si>
  <si>
    <t>Berry, Cain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</si>
</sst>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4" fillId="0" borderId="0" xfId="1" applyFont="1"/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0" fontId="5" fillId="0" borderId="0" xfId="1" applyFont="1"/>
    <xf numFmtId="9" fontId="0" fillId="0" borderId="0" xfId="2" applyFont="1"/>
    <xf numFmtId="0" fontId="7" fillId="0" borderId="0" xfId="0" applyFont="1"/>
    <xf numFmtId="0" fontId="6" fillId="0" borderId="0" xfId="0" applyFont="1"/>
  </cellXfs>
  <cellStyles count="3">
    <cellStyle name="Normal" xfId="0" builtinId="0"/>
    <cellStyle name="Normal 2" xfId="1" xr:uid="{00000000-0005-0000-0000-000001000000}"/>
    <cellStyle name="Percent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E19"/>
  <sheetViews>
    <sheetView workbookViewId="0">
      <selection activeCell="H24" sqref="H24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4" width="9.140625" style="1"/>
    <col min="5" max="5" width="40.28515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77</v>
      </c>
    </row>
    <row r="3" spans="1:5" ht="18" x14ac:dyDescent="0.25">
      <c r="A3" s="3" t="s">
        <v>24</v>
      </c>
    </row>
    <row r="5" spans="1:5" ht="15.75" x14ac:dyDescent="0.25">
      <c r="A5" s="2" t="s">
        <v>23</v>
      </c>
      <c r="B5" s="2" t="s">
        <v>22</v>
      </c>
      <c r="C5" s="2" t="s">
        <v>21</v>
      </c>
    </row>
    <row r="6" spans="1:5" x14ac:dyDescent="0.2">
      <c r="A6" s="1" t="s">
        <v>10</v>
      </c>
      <c r="B6" s="1" t="s">
        <v>11</v>
      </c>
      <c r="C6" s="1" t="s">
        <v>142</v>
      </c>
    </row>
    <row r="7" spans="1:5" x14ac:dyDescent="0.2">
      <c r="A7" s="1" t="s">
        <v>9</v>
      </c>
      <c r="B7" s="1" t="s">
        <v>15</v>
      </c>
      <c r="C7" s="1" t="s">
        <v>8</v>
      </c>
    </row>
    <row r="8" spans="1:5" x14ac:dyDescent="0.2">
      <c r="A8" s="1" t="s">
        <v>7</v>
      </c>
      <c r="B8" s="1" t="s">
        <v>6</v>
      </c>
      <c r="C8" s="1" t="s">
        <v>5</v>
      </c>
    </row>
    <row r="9" spans="1:5" x14ac:dyDescent="0.2">
      <c r="A9" s="1" t="s">
        <v>4</v>
      </c>
      <c r="B9" s="1" t="s">
        <v>13</v>
      </c>
      <c r="C9" s="1" t="s">
        <v>143</v>
      </c>
    </row>
    <row r="10" spans="1:5" x14ac:dyDescent="0.2">
      <c r="A10" s="1" t="s">
        <v>2</v>
      </c>
      <c r="B10" s="1" t="s">
        <v>144</v>
      </c>
      <c r="C10" s="1" t="s">
        <v>145</v>
      </c>
    </row>
    <row r="11" spans="1:5" x14ac:dyDescent="0.2">
      <c r="A11" s="1" t="s">
        <v>10</v>
      </c>
      <c r="B11" s="1" t="s">
        <v>0</v>
      </c>
      <c r="C11" s="1" t="s">
        <v>146</v>
      </c>
    </row>
    <row r="13" spans="1:5" ht="15" x14ac:dyDescent="0.25">
      <c r="A13"/>
      <c r="B13"/>
      <c r="C13"/>
      <c r="D13"/>
      <c r="E13"/>
    </row>
    <row r="14" spans="1:5" ht="21" x14ac:dyDescent="0.35">
      <c r="A14" s="9"/>
      <c r="B14"/>
      <c r="C14"/>
      <c r="D14"/>
      <c r="E14"/>
    </row>
    <row r="15" spans="1:5" ht="15" x14ac:dyDescent="0.25">
      <c r="A15" s="10"/>
      <c r="B15" s="10"/>
      <c r="C15" s="10"/>
      <c r="D15" s="10"/>
      <c r="E15"/>
    </row>
    <row r="16" spans="1:5" ht="15" x14ac:dyDescent="0.25">
      <c r="A16"/>
      <c r="B16"/>
      <c r="C16"/>
      <c r="D16"/>
      <c r="E16"/>
    </row>
    <row r="17" spans="1:5" ht="15" x14ac:dyDescent="0.25">
      <c r="A17"/>
      <c r="B17"/>
      <c r="C17"/>
      <c r="D17"/>
      <c r="E17"/>
    </row>
    <row r="18" spans="1:5" ht="21" x14ac:dyDescent="0.35">
      <c r="A18" s="9"/>
      <c r="B18"/>
      <c r="C18"/>
      <c r="D18"/>
      <c r="E18"/>
    </row>
    <row r="19" spans="1:5" ht="15" x14ac:dyDescent="0.25">
      <c r="A19" s="10"/>
      <c r="B19" s="10"/>
      <c r="C19" s="10"/>
      <c r="D19" s="10"/>
      <c r="E19" s="10"/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77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93</v>
      </c>
      <c r="C6" s="1" t="s">
        <v>92</v>
      </c>
      <c r="D6" s="5">
        <v>346</v>
      </c>
      <c r="E6" s="5" t="s">
        <v>41</v>
      </c>
    </row>
    <row r="7" spans="1:5" x14ac:dyDescent="0.2">
      <c r="A7" s="1">
        <v>1</v>
      </c>
      <c r="B7" s="1" t="s">
        <v>91</v>
      </c>
      <c r="C7" s="1" t="s">
        <v>90</v>
      </c>
      <c r="D7" s="5">
        <v>654</v>
      </c>
      <c r="E7" s="5" t="s">
        <v>47</v>
      </c>
    </row>
    <row r="8" spans="1:5" x14ac:dyDescent="0.2">
      <c r="A8" s="1">
        <v>1</v>
      </c>
      <c r="B8" s="1" t="s">
        <v>89</v>
      </c>
      <c r="C8" s="1" t="s">
        <v>88</v>
      </c>
      <c r="D8" s="5">
        <v>764</v>
      </c>
      <c r="E8" s="5" t="s">
        <v>44</v>
      </c>
    </row>
    <row r="9" spans="1:5" x14ac:dyDescent="0.2">
      <c r="A9" s="1">
        <v>2</v>
      </c>
      <c r="B9" s="1" t="s">
        <v>87</v>
      </c>
      <c r="C9" s="1" t="s">
        <v>86</v>
      </c>
      <c r="D9" s="5">
        <v>347</v>
      </c>
      <c r="E9" s="5" t="s">
        <v>29</v>
      </c>
    </row>
    <row r="10" spans="1:5" x14ac:dyDescent="0.2">
      <c r="A10" s="1">
        <v>2</v>
      </c>
      <c r="B10" s="1" t="s">
        <v>85</v>
      </c>
      <c r="C10" s="1" t="s">
        <v>84</v>
      </c>
      <c r="D10" s="5">
        <v>342</v>
      </c>
      <c r="E10" s="5" t="s">
        <v>26</v>
      </c>
    </row>
    <row r="11" spans="1:5" x14ac:dyDescent="0.2">
      <c r="A11" s="1">
        <v>3</v>
      </c>
      <c r="B11" s="1" t="s">
        <v>83</v>
      </c>
      <c r="C11" s="1" t="s">
        <v>82</v>
      </c>
      <c r="D11" s="5">
        <v>86</v>
      </c>
      <c r="E11" s="5" t="s">
        <v>32</v>
      </c>
    </row>
    <row r="12" spans="1:5" x14ac:dyDescent="0.2">
      <c r="A12" s="1">
        <v>2</v>
      </c>
      <c r="B12" s="1" t="s">
        <v>81</v>
      </c>
      <c r="C12" s="1" t="s">
        <v>80</v>
      </c>
      <c r="D12" s="5">
        <v>346</v>
      </c>
      <c r="E12" s="5" t="s">
        <v>35</v>
      </c>
    </row>
    <row r="13" spans="1:5" x14ac:dyDescent="0.2">
      <c r="A13" s="1">
        <v>1</v>
      </c>
      <c r="B13" s="1" t="s">
        <v>79</v>
      </c>
      <c r="C13" s="1" t="s">
        <v>78</v>
      </c>
      <c r="D13" s="5">
        <v>733</v>
      </c>
      <c r="E13" s="5" t="s">
        <v>38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77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37701</v>
      </c>
      <c r="C7" s="1" t="s">
        <v>56</v>
      </c>
      <c r="D7" s="1" t="s">
        <v>65</v>
      </c>
      <c r="E7" s="1">
        <v>315</v>
      </c>
    </row>
    <row r="8" spans="1:6" x14ac:dyDescent="0.2">
      <c r="A8" s="1" t="s">
        <v>64</v>
      </c>
      <c r="B8" s="6">
        <v>37753</v>
      </c>
      <c r="C8" s="1" t="s">
        <v>63</v>
      </c>
      <c r="D8" s="1" t="s">
        <v>62</v>
      </c>
      <c r="E8" s="1">
        <v>196</v>
      </c>
    </row>
    <row r="9" spans="1:6" x14ac:dyDescent="0.2">
      <c r="A9" s="1" t="s">
        <v>61</v>
      </c>
      <c r="B9" s="6">
        <v>37795</v>
      </c>
      <c r="C9" s="1" t="s">
        <v>60</v>
      </c>
      <c r="D9" s="1" t="s">
        <v>59</v>
      </c>
      <c r="E9" s="1">
        <v>54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164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D10"/>
  <sheetViews>
    <sheetView workbookViewId="0">
      <selection activeCell="C12" sqref="C12"/>
    </sheetView>
  </sheetViews>
  <sheetFormatPr defaultColWidth="9.140625" defaultRowHeight="12.75" x14ac:dyDescent="0.2"/>
  <cols>
    <col min="1" max="1" width="17.140625" style="1" customWidth="1"/>
    <col min="2" max="2" width="10.28515625" style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77</v>
      </c>
    </row>
    <row r="3" spans="1:4" ht="18" x14ac:dyDescent="0.25">
      <c r="A3" s="3" t="s">
        <v>94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18</v>
      </c>
      <c r="B6" s="1">
        <v>250</v>
      </c>
      <c r="C6" s="1">
        <v>215</v>
      </c>
      <c r="D6" s="8">
        <f>C6/B6</f>
        <v>0.86</v>
      </c>
    </row>
    <row r="7" spans="1:4" ht="15" x14ac:dyDescent="0.25">
      <c r="A7" s="1" t="s">
        <v>16</v>
      </c>
      <c r="B7" s="1">
        <v>250</v>
      </c>
      <c r="C7" s="1">
        <v>212</v>
      </c>
      <c r="D7" s="8">
        <f>C7/B7</f>
        <v>0.84799999999999998</v>
      </c>
    </row>
    <row r="8" spans="1:4" ht="15" x14ac:dyDescent="0.25">
      <c r="A8" s="1" t="s">
        <v>14</v>
      </c>
      <c r="B8" s="1">
        <v>500</v>
      </c>
      <c r="C8" s="1">
        <v>400</v>
      </c>
      <c r="D8" s="8">
        <f>C8/B8</f>
        <v>0.8</v>
      </c>
    </row>
    <row r="9" spans="1:4" ht="15" x14ac:dyDescent="0.25">
      <c r="A9" s="1" t="s">
        <v>10</v>
      </c>
      <c r="B9" s="1">
        <v>450</v>
      </c>
      <c r="C9" s="1">
        <v>431</v>
      </c>
      <c r="D9" s="8">
        <f>C9/B9</f>
        <v>0.95777777777777773</v>
      </c>
    </row>
    <row r="10" spans="1:4" ht="15" x14ac:dyDescent="0.25">
      <c r="A10" s="1" t="s">
        <v>1</v>
      </c>
      <c r="B10" s="1">
        <v>600</v>
      </c>
      <c r="C10" s="1">
        <v>534</v>
      </c>
      <c r="D10" s="8">
        <f>C10/B10</f>
        <v>0.89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25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1</v>
      </c>
      <c r="B6" s="1" t="s">
        <v>49</v>
      </c>
      <c r="C6" s="1" t="s">
        <v>48</v>
      </c>
      <c r="D6" s="5">
        <v>932</v>
      </c>
      <c r="E6" s="5" t="s">
        <v>47</v>
      </c>
    </row>
    <row r="7" spans="1:5" x14ac:dyDescent="0.2">
      <c r="A7" s="1">
        <v>1</v>
      </c>
      <c r="B7" s="1" t="s">
        <v>46</v>
      </c>
      <c r="C7" s="1" t="s">
        <v>45</v>
      </c>
      <c r="D7" s="5">
        <v>493</v>
      </c>
      <c r="E7" s="5" t="s">
        <v>44</v>
      </c>
    </row>
    <row r="8" spans="1:5" x14ac:dyDescent="0.2">
      <c r="A8" s="1">
        <v>2</v>
      </c>
      <c r="B8" s="1" t="s">
        <v>43</v>
      </c>
      <c r="C8" s="1" t="s">
        <v>42</v>
      </c>
      <c r="D8" s="5">
        <v>294</v>
      </c>
      <c r="E8" s="5" t="s">
        <v>41</v>
      </c>
    </row>
    <row r="9" spans="1:5" x14ac:dyDescent="0.2">
      <c r="A9" s="1">
        <v>2</v>
      </c>
      <c r="B9" s="1" t="s">
        <v>40</v>
      </c>
      <c r="C9" s="1" t="s">
        <v>39</v>
      </c>
      <c r="D9" s="5">
        <v>215</v>
      </c>
      <c r="E9" s="5" t="s">
        <v>38</v>
      </c>
    </row>
    <row r="10" spans="1:5" x14ac:dyDescent="0.2">
      <c r="A10" s="1">
        <v>1</v>
      </c>
      <c r="B10" s="1" t="s">
        <v>37</v>
      </c>
      <c r="C10" s="1" t="s">
        <v>36</v>
      </c>
      <c r="D10" s="5">
        <v>532</v>
      </c>
      <c r="E10" s="5" t="s">
        <v>35</v>
      </c>
    </row>
    <row r="11" spans="1:5" x14ac:dyDescent="0.2">
      <c r="A11" s="1">
        <v>3</v>
      </c>
      <c r="B11" s="1" t="s">
        <v>34</v>
      </c>
      <c r="C11" s="1" t="s">
        <v>33</v>
      </c>
      <c r="D11" s="5">
        <v>87</v>
      </c>
      <c r="E11" s="5" t="s">
        <v>32</v>
      </c>
    </row>
    <row r="12" spans="1:5" x14ac:dyDescent="0.2">
      <c r="A12" s="1">
        <v>3</v>
      </c>
      <c r="B12" s="1" t="s">
        <v>31</v>
      </c>
      <c r="C12" s="1" t="s">
        <v>30</v>
      </c>
      <c r="D12" s="5">
        <v>132</v>
      </c>
      <c r="E12" s="5" t="s">
        <v>29</v>
      </c>
    </row>
    <row r="13" spans="1:5" x14ac:dyDescent="0.2">
      <c r="A13" s="1">
        <v>2</v>
      </c>
      <c r="B13" s="1" t="s">
        <v>28</v>
      </c>
      <c r="C13" s="1" t="s">
        <v>27</v>
      </c>
      <c r="D13" s="5">
        <v>248</v>
      </c>
      <c r="E13" s="5" t="s">
        <v>26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25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37705</v>
      </c>
      <c r="C7" s="1" t="s">
        <v>56</v>
      </c>
      <c r="D7" s="1" t="s">
        <v>65</v>
      </c>
      <c r="E7" s="1">
        <v>325</v>
      </c>
    </row>
    <row r="8" spans="1:6" x14ac:dyDescent="0.2">
      <c r="A8" s="1" t="s">
        <v>64</v>
      </c>
      <c r="B8" s="6">
        <v>37766</v>
      </c>
      <c r="C8" s="1" t="s">
        <v>63</v>
      </c>
      <c r="D8" s="1" t="s">
        <v>62</v>
      </c>
      <c r="E8" s="1">
        <v>216</v>
      </c>
    </row>
    <row r="9" spans="1:6" x14ac:dyDescent="0.2">
      <c r="A9" s="1" t="s">
        <v>61</v>
      </c>
      <c r="B9" s="6">
        <v>37802</v>
      </c>
      <c r="C9" s="1" t="s">
        <v>60</v>
      </c>
      <c r="D9" s="1" t="s">
        <v>59</v>
      </c>
      <c r="E9" s="1">
        <v>93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153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C11"/>
  <sheetViews>
    <sheetView tabSelected="1" workbookViewId="0">
      <selection activeCell="I31" sqref="I31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25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20</v>
      </c>
      <c r="B6" s="1" t="s">
        <v>11</v>
      </c>
      <c r="C6" s="1" t="s">
        <v>19</v>
      </c>
    </row>
    <row r="7" spans="1:3" x14ac:dyDescent="0.2">
      <c r="A7" s="1" t="s">
        <v>18</v>
      </c>
      <c r="B7" s="1" t="s">
        <v>15</v>
      </c>
      <c r="C7" s="1" t="s">
        <v>17</v>
      </c>
    </row>
    <row r="8" spans="1:3" x14ac:dyDescent="0.2">
      <c r="A8" s="1" t="s">
        <v>16</v>
      </c>
      <c r="B8" s="1" t="s">
        <v>6</v>
      </c>
      <c r="C8" s="1" t="s">
        <v>137</v>
      </c>
    </row>
    <row r="9" spans="1:3" x14ac:dyDescent="0.2">
      <c r="A9" s="1" t="s">
        <v>14</v>
      </c>
      <c r="B9" s="1" t="s">
        <v>13</v>
      </c>
      <c r="C9" s="1" t="s">
        <v>138</v>
      </c>
    </row>
    <row r="10" spans="1:3" x14ac:dyDescent="0.2">
      <c r="A10" s="1" t="s">
        <v>12</v>
      </c>
      <c r="B10" s="1" t="s">
        <v>3</v>
      </c>
      <c r="C10" s="1" t="s">
        <v>139</v>
      </c>
    </row>
    <row r="11" spans="1:3" x14ac:dyDescent="0.2">
      <c r="A11" s="1" t="s">
        <v>140</v>
      </c>
      <c r="B11" s="1" t="s">
        <v>0</v>
      </c>
      <c r="C11" s="1" t="s">
        <v>141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D11"/>
  <sheetViews>
    <sheetView workbookViewId="0">
      <selection activeCell="C12" sqref="C12"/>
    </sheetView>
  </sheetViews>
  <sheetFormatPr defaultColWidth="9.140625"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25</v>
      </c>
    </row>
    <row r="3" spans="1:4" ht="18" x14ac:dyDescent="0.25">
      <c r="A3" s="3" t="s">
        <v>76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7" spans="1:4" ht="15" x14ac:dyDescent="0.25">
      <c r="A7" s="1" t="s">
        <v>18</v>
      </c>
      <c r="B7" s="1">
        <v>650</v>
      </c>
      <c r="C7" s="1">
        <v>597</v>
      </c>
      <c r="D7" s="8">
        <f>C7/B7</f>
        <v>0.91846153846153844</v>
      </c>
    </row>
    <row r="8" spans="1:4" ht="15" x14ac:dyDescent="0.25">
      <c r="A8" s="1" t="s">
        <v>16</v>
      </c>
      <c r="B8" s="1">
        <v>246</v>
      </c>
      <c r="C8" s="1">
        <v>254</v>
      </c>
      <c r="D8" s="8">
        <f>C8/B8</f>
        <v>1.032520325203252</v>
      </c>
    </row>
    <row r="9" spans="1:4" ht="15" x14ac:dyDescent="0.25">
      <c r="A9" s="1" t="s">
        <v>14</v>
      </c>
      <c r="B9" s="1">
        <v>435</v>
      </c>
      <c r="C9" s="1">
        <v>415</v>
      </c>
      <c r="D9" s="8">
        <f>C9/B9</f>
        <v>0.95402298850574707</v>
      </c>
    </row>
    <row r="10" spans="1:4" ht="15" x14ac:dyDescent="0.25">
      <c r="A10" s="1" t="s">
        <v>10</v>
      </c>
      <c r="B10" s="1">
        <v>254</v>
      </c>
      <c r="C10" s="1">
        <v>256</v>
      </c>
      <c r="D10" s="8">
        <f>C10/B10</f>
        <v>1.0078740157480315</v>
      </c>
    </row>
    <row r="11" spans="1:4" ht="15" x14ac:dyDescent="0.25">
      <c r="A11" s="1" t="s">
        <v>1</v>
      </c>
      <c r="B11" s="1">
        <v>842</v>
      </c>
      <c r="C11" s="1">
        <v>850</v>
      </c>
      <c r="D11" s="8">
        <f>C11/B11</f>
        <v>1.0095011876484561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95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147</v>
      </c>
      <c r="B6" s="1" t="s">
        <v>11</v>
      </c>
      <c r="C6" s="1" t="s">
        <v>148</v>
      </c>
    </row>
    <row r="7" spans="1:3" x14ac:dyDescent="0.2">
      <c r="A7" s="1" t="s">
        <v>149</v>
      </c>
      <c r="B7" s="1" t="s">
        <v>15</v>
      </c>
      <c r="C7" s="1" t="s">
        <v>150</v>
      </c>
    </row>
    <row r="8" spans="1:3" x14ac:dyDescent="0.2">
      <c r="A8" s="1" t="s">
        <v>151</v>
      </c>
      <c r="B8" s="1" t="s">
        <v>6</v>
      </c>
      <c r="C8" s="1" t="s">
        <v>152</v>
      </c>
    </row>
    <row r="9" spans="1:3" x14ac:dyDescent="0.2">
      <c r="A9" s="1" t="s">
        <v>153</v>
      </c>
      <c r="B9" s="1" t="s">
        <v>13</v>
      </c>
      <c r="C9" s="1" t="s">
        <v>154</v>
      </c>
    </row>
    <row r="10" spans="1:3" x14ac:dyDescent="0.2">
      <c r="A10" s="1" t="s">
        <v>155</v>
      </c>
      <c r="B10" s="1" t="s">
        <v>156</v>
      </c>
      <c r="C10" s="1" t="s">
        <v>157</v>
      </c>
    </row>
    <row r="11" spans="1:3" x14ac:dyDescent="0.2">
      <c r="A11" s="1" t="s">
        <v>158</v>
      </c>
      <c r="B11" s="1" t="s">
        <v>0</v>
      </c>
      <c r="C11" s="1" t="s">
        <v>159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95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111</v>
      </c>
      <c r="C6" s="1" t="s">
        <v>110</v>
      </c>
      <c r="D6" s="5">
        <v>345</v>
      </c>
      <c r="E6" s="5" t="s">
        <v>44</v>
      </c>
    </row>
    <row r="7" spans="1:5" x14ac:dyDescent="0.2">
      <c r="A7" s="1">
        <v>3</v>
      </c>
      <c r="B7" s="1" t="s">
        <v>109</v>
      </c>
      <c r="C7" s="1" t="s">
        <v>108</v>
      </c>
      <c r="D7" s="5">
        <v>156</v>
      </c>
      <c r="E7" s="5" t="s">
        <v>32</v>
      </c>
    </row>
    <row r="8" spans="1:5" x14ac:dyDescent="0.2">
      <c r="A8" s="1">
        <v>3</v>
      </c>
      <c r="B8" s="1" t="s">
        <v>107</v>
      </c>
      <c r="C8" s="1" t="s">
        <v>106</v>
      </c>
      <c r="D8" s="5">
        <v>36</v>
      </c>
      <c r="E8" s="5" t="s">
        <v>41</v>
      </c>
    </row>
    <row r="9" spans="1:5" x14ac:dyDescent="0.2">
      <c r="A9" s="1">
        <v>2</v>
      </c>
      <c r="B9" s="1" t="s">
        <v>105</v>
      </c>
      <c r="C9" s="1" t="s">
        <v>104</v>
      </c>
      <c r="D9" s="5">
        <v>457</v>
      </c>
      <c r="E9" s="5" t="s">
        <v>26</v>
      </c>
    </row>
    <row r="10" spans="1:5" x14ac:dyDescent="0.2">
      <c r="A10" s="1">
        <v>2</v>
      </c>
      <c r="B10" s="1" t="s">
        <v>103</v>
      </c>
      <c r="C10" s="1" t="s">
        <v>102</v>
      </c>
      <c r="D10" s="5">
        <v>378</v>
      </c>
      <c r="E10" s="5" t="s">
        <v>35</v>
      </c>
    </row>
    <row r="11" spans="1:5" x14ac:dyDescent="0.2">
      <c r="A11" s="1">
        <v>3</v>
      </c>
      <c r="B11" s="1" t="s">
        <v>101</v>
      </c>
      <c r="C11" s="1" t="s">
        <v>100</v>
      </c>
      <c r="D11" s="5">
        <v>165</v>
      </c>
      <c r="E11" s="5" t="s">
        <v>47</v>
      </c>
    </row>
    <row r="12" spans="1:5" x14ac:dyDescent="0.2">
      <c r="A12" s="1">
        <v>1</v>
      </c>
      <c r="B12" s="1" t="s">
        <v>99</v>
      </c>
      <c r="C12" s="1" t="s">
        <v>98</v>
      </c>
      <c r="D12" s="5">
        <v>953</v>
      </c>
      <c r="E12" s="5" t="s">
        <v>38</v>
      </c>
    </row>
    <row r="13" spans="1:5" x14ac:dyDescent="0.2">
      <c r="A13" s="1">
        <v>1</v>
      </c>
      <c r="B13" s="1" t="s">
        <v>97</v>
      </c>
      <c r="C13" s="1" t="s">
        <v>96</v>
      </c>
      <c r="D13" s="5">
        <v>842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F10"/>
  <sheetViews>
    <sheetView topLeftCell="A28"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95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37664</v>
      </c>
      <c r="C7" s="1" t="s">
        <v>56</v>
      </c>
      <c r="D7" s="1" t="s">
        <v>65</v>
      </c>
      <c r="E7" s="1">
        <v>435</v>
      </c>
    </row>
    <row r="8" spans="1:6" x14ac:dyDescent="0.2">
      <c r="A8" s="1" t="s">
        <v>64</v>
      </c>
      <c r="B8" s="6">
        <v>37685</v>
      </c>
      <c r="C8" s="1" t="s">
        <v>63</v>
      </c>
      <c r="D8" s="1" t="s">
        <v>62</v>
      </c>
      <c r="E8" s="1">
        <v>24</v>
      </c>
    </row>
    <row r="9" spans="1:6" x14ac:dyDescent="0.2">
      <c r="A9" s="1" t="s">
        <v>61</v>
      </c>
      <c r="B9" s="6">
        <v>37725</v>
      </c>
      <c r="C9" s="1" t="s">
        <v>60</v>
      </c>
      <c r="D9" s="1" t="s">
        <v>59</v>
      </c>
      <c r="E9" s="1">
        <v>245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315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D10"/>
  <sheetViews>
    <sheetView workbookViewId="0">
      <selection activeCell="C12" sqref="C12"/>
    </sheetView>
  </sheetViews>
  <sheetFormatPr defaultColWidth="9.140625" defaultRowHeight="12.75" x14ac:dyDescent="0.2"/>
  <cols>
    <col min="1" max="1" width="19.140625" style="1" customWidth="1"/>
    <col min="2" max="2" width="12" style="1" bestFit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95</v>
      </c>
    </row>
    <row r="3" spans="1:4" ht="18" x14ac:dyDescent="0.25">
      <c r="A3" s="3" t="s">
        <v>94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18</v>
      </c>
      <c r="B6" s="1">
        <v>225</v>
      </c>
      <c r="C6" s="1">
        <v>215</v>
      </c>
      <c r="D6" s="8">
        <f>C6/B6</f>
        <v>0.9555555555555556</v>
      </c>
    </row>
    <row r="7" spans="1:4" ht="15" x14ac:dyDescent="0.25">
      <c r="A7" s="1" t="s">
        <v>16</v>
      </c>
      <c r="B7" s="1">
        <v>145</v>
      </c>
      <c r="C7" s="1">
        <v>156</v>
      </c>
      <c r="D7" s="8">
        <f>C7/B7</f>
        <v>1.0758620689655172</v>
      </c>
    </row>
    <row r="8" spans="1:4" ht="15" x14ac:dyDescent="0.25">
      <c r="A8" s="1" t="s">
        <v>14</v>
      </c>
      <c r="B8" s="1">
        <v>453</v>
      </c>
      <c r="C8" s="1">
        <v>423</v>
      </c>
      <c r="D8" s="8">
        <f>C8/B8</f>
        <v>0.93377483443708609</v>
      </c>
    </row>
    <row r="9" spans="1:4" ht="15" x14ac:dyDescent="0.25">
      <c r="A9" s="1" t="s">
        <v>10</v>
      </c>
      <c r="B9" s="1">
        <v>135</v>
      </c>
      <c r="C9" s="1">
        <v>120</v>
      </c>
      <c r="D9" s="8">
        <f>C9/B9</f>
        <v>0.88888888888888884</v>
      </c>
    </row>
    <row r="10" spans="1:4" ht="15" x14ac:dyDescent="0.25">
      <c r="A10" s="1" t="s">
        <v>1</v>
      </c>
      <c r="B10" s="1">
        <v>324</v>
      </c>
      <c r="C10" s="1">
        <v>285</v>
      </c>
      <c r="D10" s="8">
        <f>C10/B10</f>
        <v>0.87962962962962965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112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160</v>
      </c>
      <c r="B6" s="1" t="s">
        <v>11</v>
      </c>
      <c r="C6" s="1" t="s">
        <v>161</v>
      </c>
    </row>
    <row r="7" spans="1:3" x14ac:dyDescent="0.2">
      <c r="A7" s="1" t="s">
        <v>162</v>
      </c>
      <c r="B7" s="1" t="s">
        <v>15</v>
      </c>
      <c r="C7" s="1" t="s">
        <v>163</v>
      </c>
    </row>
    <row r="8" spans="1:3" x14ac:dyDescent="0.2">
      <c r="A8" s="1" t="s">
        <v>164</v>
      </c>
      <c r="B8" s="1" t="s">
        <v>6</v>
      </c>
      <c r="C8" s="1" t="s">
        <v>165</v>
      </c>
    </row>
    <row r="9" spans="1:3" x14ac:dyDescent="0.2">
      <c r="A9" s="1" t="s">
        <v>166</v>
      </c>
      <c r="B9" s="1" t="s">
        <v>13</v>
      </c>
      <c r="C9" s="1" t="s">
        <v>167</v>
      </c>
    </row>
    <row r="10" spans="1:3" x14ac:dyDescent="0.2">
      <c r="A10" s="1" t="s">
        <v>168</v>
      </c>
      <c r="B10" s="1" t="s">
        <v>169</v>
      </c>
      <c r="C10" s="1" t="s">
        <v>170</v>
      </c>
    </row>
    <row r="11" spans="1:3" x14ac:dyDescent="0.2">
      <c r="A11" s="1" t="s">
        <v>171</v>
      </c>
      <c r="B11" s="1" t="s">
        <v>0</v>
      </c>
      <c r="C11" s="1" t="s">
        <v>172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112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128</v>
      </c>
      <c r="C6" s="1" t="s">
        <v>127</v>
      </c>
      <c r="D6" s="5">
        <v>315</v>
      </c>
      <c r="E6" s="5" t="s">
        <v>38</v>
      </c>
    </row>
    <row r="7" spans="1:5" x14ac:dyDescent="0.2">
      <c r="A7" s="1">
        <v>3</v>
      </c>
      <c r="B7" s="1" t="s">
        <v>126</v>
      </c>
      <c r="C7" s="1" t="s">
        <v>125</v>
      </c>
      <c r="D7" s="5">
        <v>62</v>
      </c>
      <c r="E7" s="5" t="s">
        <v>44</v>
      </c>
    </row>
    <row r="8" spans="1:5" x14ac:dyDescent="0.2">
      <c r="A8" s="1">
        <v>2</v>
      </c>
      <c r="B8" s="1" t="s">
        <v>124</v>
      </c>
      <c r="C8" s="1" t="s">
        <v>123</v>
      </c>
      <c r="D8" s="5">
        <v>235</v>
      </c>
      <c r="E8" s="5" t="s">
        <v>32</v>
      </c>
    </row>
    <row r="9" spans="1:5" x14ac:dyDescent="0.2">
      <c r="A9" s="1">
        <v>3</v>
      </c>
      <c r="B9" s="1" t="s">
        <v>122</v>
      </c>
      <c r="C9" s="1" t="s">
        <v>121</v>
      </c>
      <c r="D9" s="5">
        <v>156</v>
      </c>
      <c r="E9" s="5" t="s">
        <v>41</v>
      </c>
    </row>
    <row r="10" spans="1:5" x14ac:dyDescent="0.2">
      <c r="A10" s="1">
        <v>3</v>
      </c>
      <c r="B10" s="1" t="s">
        <v>120</v>
      </c>
      <c r="C10" s="1" t="s">
        <v>119</v>
      </c>
      <c r="D10" s="5">
        <v>153</v>
      </c>
      <c r="E10" s="5" t="s">
        <v>35</v>
      </c>
    </row>
    <row r="11" spans="1:5" x14ac:dyDescent="0.2">
      <c r="A11" s="1">
        <v>1</v>
      </c>
      <c r="B11" s="1" t="s">
        <v>118</v>
      </c>
      <c r="C11" s="1" t="s">
        <v>117</v>
      </c>
      <c r="D11" s="5">
        <v>563</v>
      </c>
      <c r="E11" s="5" t="s">
        <v>26</v>
      </c>
    </row>
    <row r="12" spans="1:5" x14ac:dyDescent="0.2">
      <c r="A12" s="1">
        <v>1</v>
      </c>
      <c r="B12" s="1" t="s">
        <v>116</v>
      </c>
      <c r="C12" s="1" t="s">
        <v>115</v>
      </c>
      <c r="D12" s="5">
        <v>631</v>
      </c>
      <c r="E12" s="5" t="s">
        <v>47</v>
      </c>
    </row>
    <row r="13" spans="1:5" x14ac:dyDescent="0.2">
      <c r="A13" s="1">
        <v>2</v>
      </c>
      <c r="B13" s="1" t="s">
        <v>114</v>
      </c>
      <c r="C13" s="1" t="s">
        <v>113</v>
      </c>
      <c r="D13" s="5">
        <v>365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112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37644</v>
      </c>
      <c r="C7" s="1" t="s">
        <v>56</v>
      </c>
      <c r="D7" s="1" t="s">
        <v>65</v>
      </c>
      <c r="E7" s="1">
        <v>394</v>
      </c>
    </row>
    <row r="8" spans="1:6" x14ac:dyDescent="0.2">
      <c r="A8" s="1" t="s">
        <v>64</v>
      </c>
      <c r="B8" s="6">
        <v>37657</v>
      </c>
      <c r="C8" s="1" t="s">
        <v>63</v>
      </c>
      <c r="D8" s="1" t="s">
        <v>62</v>
      </c>
      <c r="E8" s="1">
        <v>532</v>
      </c>
    </row>
    <row r="9" spans="1:6" x14ac:dyDescent="0.2">
      <c r="A9" s="1" t="s">
        <v>61</v>
      </c>
      <c r="B9" s="6">
        <v>37771</v>
      </c>
      <c r="C9" s="1" t="s">
        <v>60</v>
      </c>
      <c r="D9" s="1" t="s">
        <v>59</v>
      </c>
      <c r="E9" s="1">
        <v>13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256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D10"/>
  <sheetViews>
    <sheetView workbookViewId="0">
      <selection activeCell="C12" sqref="C12"/>
    </sheetView>
  </sheetViews>
  <sheetFormatPr defaultColWidth="9.140625" defaultRowHeight="12.75" x14ac:dyDescent="0.2"/>
  <cols>
    <col min="1" max="1" width="18.140625" style="1" customWidth="1"/>
    <col min="2" max="2" width="16.28515625" style="1" bestFit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112</v>
      </c>
    </row>
    <row r="3" spans="1:4" ht="18" x14ac:dyDescent="0.25">
      <c r="A3" s="3" t="s">
        <v>24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133</v>
      </c>
      <c r="B6" s="1">
        <v>275</v>
      </c>
      <c r="C6" s="1">
        <v>224</v>
      </c>
      <c r="D6" s="8">
        <f>C6/B6</f>
        <v>0.81454545454545457</v>
      </c>
    </row>
    <row r="7" spans="1:4" ht="15" x14ac:dyDescent="0.25">
      <c r="A7" s="1" t="s">
        <v>132</v>
      </c>
      <c r="B7" s="1">
        <v>275</v>
      </c>
      <c r="C7" s="1">
        <v>190</v>
      </c>
      <c r="D7" s="8">
        <f>C7/B7</f>
        <v>0.69090909090909092</v>
      </c>
    </row>
    <row r="8" spans="1:4" ht="15" x14ac:dyDescent="0.25">
      <c r="A8" s="1" t="s">
        <v>131</v>
      </c>
      <c r="B8" s="1">
        <v>400</v>
      </c>
      <c r="C8" s="1">
        <v>326</v>
      </c>
      <c r="D8" s="8">
        <f>C8/B8</f>
        <v>0.81499999999999995</v>
      </c>
    </row>
    <row r="9" spans="1:4" ht="15" x14ac:dyDescent="0.25">
      <c r="A9" s="1" t="s">
        <v>130</v>
      </c>
      <c r="B9" s="1">
        <v>350</v>
      </c>
      <c r="C9" s="1">
        <v>340</v>
      </c>
      <c r="D9" s="8">
        <f>C9/B9</f>
        <v>0.97142857142857142</v>
      </c>
    </row>
    <row r="10" spans="1:4" ht="15" x14ac:dyDescent="0.25">
      <c r="A10" s="1" t="s">
        <v>129</v>
      </c>
      <c r="B10" s="1">
        <v>500</v>
      </c>
      <c r="C10" s="1">
        <v>497</v>
      </c>
      <c r="D10" s="8">
        <f>C10/B10</f>
        <v>0.99399999999999999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134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173</v>
      </c>
      <c r="B6" s="1" t="s">
        <v>11</v>
      </c>
      <c r="C6" s="1" t="s">
        <v>174</v>
      </c>
    </row>
    <row r="7" spans="1:3" x14ac:dyDescent="0.2">
      <c r="A7" s="1" t="s">
        <v>175</v>
      </c>
      <c r="B7" s="1" t="s">
        <v>15</v>
      </c>
      <c r="C7" s="1" t="s">
        <v>176</v>
      </c>
    </row>
    <row r="8" spans="1:3" x14ac:dyDescent="0.2">
      <c r="A8" s="1" t="s">
        <v>177</v>
      </c>
      <c r="B8" s="1" t="s">
        <v>6</v>
      </c>
      <c r="C8" s="1" t="s">
        <v>178</v>
      </c>
    </row>
    <row r="9" spans="1:3" x14ac:dyDescent="0.2">
      <c r="A9" s="1" t="s">
        <v>179</v>
      </c>
      <c r="B9" s="1" t="s">
        <v>13</v>
      </c>
      <c r="C9" s="1" t="s">
        <v>180</v>
      </c>
    </row>
    <row r="10" spans="1:3" x14ac:dyDescent="0.2">
      <c r="A10" s="1" t="s">
        <v>181</v>
      </c>
      <c r="B10" s="1" t="s">
        <v>182</v>
      </c>
      <c r="C10" s="1" t="s">
        <v>183</v>
      </c>
    </row>
    <row r="11" spans="1:3" x14ac:dyDescent="0.2">
      <c r="A11" s="1" t="s">
        <v>184</v>
      </c>
      <c r="B11" s="1" t="s">
        <v>0</v>
      </c>
      <c r="C11" s="1" t="s">
        <v>185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134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1</v>
      </c>
      <c r="B6" s="1" t="s">
        <v>186</v>
      </c>
      <c r="C6" s="1" t="s">
        <v>187</v>
      </c>
      <c r="D6" s="5">
        <v>315</v>
      </c>
      <c r="E6" s="5" t="s">
        <v>188</v>
      </c>
    </row>
    <row r="7" spans="1:5" x14ac:dyDescent="0.2">
      <c r="A7" s="1">
        <v>3</v>
      </c>
      <c r="B7" s="1" t="s">
        <v>189</v>
      </c>
      <c r="C7" s="1" t="s">
        <v>190</v>
      </c>
      <c r="D7" s="5">
        <v>62</v>
      </c>
      <c r="E7" s="5" t="s">
        <v>191</v>
      </c>
    </row>
    <row r="8" spans="1:5" x14ac:dyDescent="0.2">
      <c r="A8" s="1">
        <v>1</v>
      </c>
      <c r="B8" s="1" t="s">
        <v>192</v>
      </c>
      <c r="C8" s="1" t="s">
        <v>193</v>
      </c>
      <c r="D8" s="5">
        <v>235</v>
      </c>
      <c r="E8" s="5" t="s">
        <v>194</v>
      </c>
    </row>
    <row r="9" spans="1:5" x14ac:dyDescent="0.2">
      <c r="A9" s="1">
        <v>2</v>
      </c>
      <c r="B9" s="1" t="s">
        <v>195</v>
      </c>
      <c r="C9" s="1" t="s">
        <v>196</v>
      </c>
      <c r="D9" s="5">
        <v>156</v>
      </c>
      <c r="E9" s="5" t="s">
        <v>197</v>
      </c>
    </row>
    <row r="10" spans="1:5" x14ac:dyDescent="0.2">
      <c r="A10" s="1">
        <v>2</v>
      </c>
      <c r="B10" s="1" t="s">
        <v>198</v>
      </c>
      <c r="C10" s="1" t="s">
        <v>199</v>
      </c>
      <c r="D10" s="5">
        <v>153</v>
      </c>
      <c r="E10" s="5" t="s">
        <v>200</v>
      </c>
    </row>
    <row r="11" spans="1:5" x14ac:dyDescent="0.2">
      <c r="D11" s="5"/>
      <c r="E11" s="5"/>
    </row>
    <row r="12" spans="1:5" x14ac:dyDescent="0.2">
      <c r="D12" s="5"/>
      <c r="E12" s="5"/>
    </row>
    <row r="13" spans="1:5" x14ac:dyDescent="0.2">
      <c r="D13" s="5"/>
      <c r="E13" s="5"/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134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/>
    </row>
    <row r="8" spans="1:6" x14ac:dyDescent="0.2">
      <c r="A8" s="1" t="s">
        <v>64</v>
      </c>
      <c r="B8" s="6"/>
    </row>
    <row r="9" spans="1:6" x14ac:dyDescent="0.2">
      <c r="A9" s="1" t="s">
        <v>61</v>
      </c>
      <c r="B9" s="6"/>
    </row>
    <row r="10" spans="1:6" x14ac:dyDescent="0.2">
      <c r="A10" s="1" t="s">
        <v>58</v>
      </c>
      <c r="B10" s="5"/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D13"/>
  <sheetViews>
    <sheetView workbookViewId="0">
      <selection activeCell="C12" sqref="C12"/>
    </sheetView>
  </sheetViews>
  <sheetFormatPr defaultColWidth="9.140625"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134</v>
      </c>
    </row>
    <row r="3" spans="1:4" ht="18" x14ac:dyDescent="0.25">
      <c r="A3" s="3" t="s">
        <v>76</v>
      </c>
    </row>
    <row r="6" spans="1:4" ht="15.75" x14ac:dyDescent="0.25">
      <c r="A6" s="2" t="s">
        <v>75</v>
      </c>
      <c r="B6" s="2" t="s">
        <v>74</v>
      </c>
      <c r="C6" s="2" t="s">
        <v>67</v>
      </c>
      <c r="D6" s="2" t="s">
        <v>73</v>
      </c>
    </row>
    <row r="9" spans="1:4" ht="15" x14ac:dyDescent="0.25">
      <c r="D9" s="8"/>
    </row>
    <row r="10" spans="1:4" ht="15" x14ac:dyDescent="0.25">
      <c r="D10" s="8"/>
    </row>
    <row r="11" spans="1:4" ht="15" x14ac:dyDescent="0.25">
      <c r="D11" s="8"/>
    </row>
    <row r="12" spans="1:4" ht="15" x14ac:dyDescent="0.25">
      <c r="D12" s="8"/>
    </row>
    <row r="13" spans="1:4" ht="15" x14ac:dyDescent="0.25">
      <c r="D13" s="8"/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135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201</v>
      </c>
      <c r="B6" s="1" t="s">
        <v>11</v>
      </c>
      <c r="C6" s="1" t="s">
        <v>202</v>
      </c>
    </row>
    <row r="7" spans="1:3" x14ac:dyDescent="0.2">
      <c r="A7" s="1" t="s">
        <v>203</v>
      </c>
      <c r="B7" s="1" t="s">
        <v>15</v>
      </c>
      <c r="C7" s="1" t="s">
        <v>204</v>
      </c>
    </row>
    <row r="8" spans="1:3" x14ac:dyDescent="0.2">
      <c r="A8" s="1" t="s">
        <v>205</v>
      </c>
      <c r="B8" s="1" t="s">
        <v>6</v>
      </c>
      <c r="C8" s="1" t="s">
        <v>206</v>
      </c>
    </row>
    <row r="9" spans="1:3" x14ac:dyDescent="0.2">
      <c r="A9" s="1" t="s">
        <v>207</v>
      </c>
      <c r="B9" s="1" t="s">
        <v>13</v>
      </c>
      <c r="C9" s="1" t="s">
        <v>208</v>
      </c>
    </row>
    <row r="10" spans="1:3" x14ac:dyDescent="0.2">
      <c r="A10" s="1" t="s">
        <v>209</v>
      </c>
      <c r="B10" s="1" t="s">
        <v>210</v>
      </c>
      <c r="C10" s="1" t="s">
        <v>211</v>
      </c>
    </row>
    <row r="11" spans="1:3" x14ac:dyDescent="0.2">
      <c r="A11" s="1" t="s">
        <v>212</v>
      </c>
      <c r="B11" s="1" t="s">
        <v>0</v>
      </c>
      <c r="C11" s="1" t="s">
        <v>213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E13"/>
  <sheetViews>
    <sheetView workbookViewId="0">
      <selection activeCell="C12" sqref="C12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135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3</v>
      </c>
      <c r="B6" s="1" t="s">
        <v>214</v>
      </c>
      <c r="C6" s="1" t="s">
        <v>215</v>
      </c>
      <c r="D6" s="5">
        <v>315</v>
      </c>
      <c r="E6" s="5" t="s">
        <v>188</v>
      </c>
    </row>
    <row r="7" spans="1:5" x14ac:dyDescent="0.2">
      <c r="A7" s="1">
        <v>2</v>
      </c>
      <c r="B7" s="1" t="s">
        <v>216</v>
      </c>
      <c r="C7" s="1" t="s">
        <v>217</v>
      </c>
      <c r="D7" s="5">
        <v>62</v>
      </c>
      <c r="E7" s="5" t="s">
        <v>191</v>
      </c>
    </row>
    <row r="8" spans="1:5" x14ac:dyDescent="0.2">
      <c r="A8" s="1">
        <v>2</v>
      </c>
      <c r="B8" s="1" t="s">
        <v>218</v>
      </c>
      <c r="C8" s="1" t="s">
        <v>219</v>
      </c>
      <c r="D8" s="5">
        <v>235</v>
      </c>
      <c r="E8" s="5" t="s">
        <v>194</v>
      </c>
    </row>
    <row r="9" spans="1:5" x14ac:dyDescent="0.2">
      <c r="A9" s="1">
        <v>1</v>
      </c>
      <c r="B9" s="1" t="s">
        <v>220</v>
      </c>
      <c r="C9" s="1" t="s">
        <v>221</v>
      </c>
      <c r="D9" s="5">
        <v>156</v>
      </c>
      <c r="E9" s="5" t="s">
        <v>197</v>
      </c>
    </row>
    <row r="10" spans="1:5" x14ac:dyDescent="0.2">
      <c r="A10" s="1">
        <v>3</v>
      </c>
      <c r="B10" s="1" t="s">
        <v>222</v>
      </c>
      <c r="C10" s="1" t="s">
        <v>223</v>
      </c>
      <c r="D10" s="5">
        <v>153</v>
      </c>
      <c r="E10" s="5" t="s">
        <v>200</v>
      </c>
    </row>
    <row r="11" spans="1:5" x14ac:dyDescent="0.2">
      <c r="D11" s="5"/>
      <c r="E11" s="5"/>
    </row>
    <row r="12" spans="1:5" x14ac:dyDescent="0.2">
      <c r="D12" s="5"/>
      <c r="E12" s="5"/>
    </row>
    <row r="13" spans="1:5" x14ac:dyDescent="0.2">
      <c r="D13" s="5"/>
      <c r="E13" s="5"/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F10"/>
  <sheetViews>
    <sheetView workbookViewId="0">
      <selection activeCell="C12" sqref="C12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135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/>
    </row>
    <row r="8" spans="1:6" x14ac:dyDescent="0.2">
      <c r="A8" s="1" t="s">
        <v>64</v>
      </c>
      <c r="B8" s="6"/>
    </row>
    <row r="9" spans="1:6" x14ac:dyDescent="0.2">
      <c r="A9" s="1" t="s">
        <v>61</v>
      </c>
      <c r="B9" s="6"/>
    </row>
    <row r="10" spans="1:6" x14ac:dyDescent="0.2">
      <c r="A10" s="1" t="s">
        <v>58</v>
      </c>
      <c r="B10" s="5"/>
    </row>
  </sheetData>
  <pageMargins left="0.75" right="0.75" top="1" bottom="1" header="0.5" footer="0.5"/>
  <pageSetup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D13"/>
  <sheetViews>
    <sheetView workbookViewId="0">
      <selection activeCell="C12" sqref="C12"/>
    </sheetView>
  </sheetViews>
  <sheetFormatPr defaultColWidth="9.140625"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135</v>
      </c>
    </row>
    <row r="3" spans="1:4" ht="18" x14ac:dyDescent="0.25">
      <c r="A3" s="3" t="s">
        <v>76</v>
      </c>
    </row>
    <row r="6" spans="1:4" ht="15.75" x14ac:dyDescent="0.25">
      <c r="A6" s="2" t="s">
        <v>75</v>
      </c>
      <c r="B6" s="2" t="s">
        <v>74</v>
      </c>
      <c r="C6" s="2" t="s">
        <v>67</v>
      </c>
      <c r="D6" s="2" t="s">
        <v>73</v>
      </c>
    </row>
    <row r="9" spans="1:4" ht="15" x14ac:dyDescent="0.25">
      <c r="D9" s="8"/>
    </row>
    <row r="10" spans="1:4" ht="15" x14ac:dyDescent="0.25">
      <c r="D10" s="8"/>
    </row>
    <row r="11" spans="1:4" ht="15" x14ac:dyDescent="0.25">
      <c r="D11" s="8"/>
    </row>
    <row r="12" spans="1:4" ht="15" x14ac:dyDescent="0.25">
      <c r="D12" s="8"/>
    </row>
    <row r="13" spans="1:4" ht="15" x14ac:dyDescent="0.25">
      <c r="D13" s="8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SE Team</vt:lpstr>
      <vt:lpstr>SE Clients</vt:lpstr>
      <vt:lpstr>SE Marketing</vt:lpstr>
      <vt:lpstr>SE Sales</vt:lpstr>
      <vt:lpstr>NE Clients</vt:lpstr>
      <vt:lpstr>NE Marketing</vt:lpstr>
      <vt:lpstr>NE Team</vt:lpstr>
      <vt:lpstr>NE Sales</vt:lpstr>
      <vt:lpstr>MW Team</vt:lpstr>
      <vt:lpstr>MW Clients</vt:lpstr>
      <vt:lpstr>MW Marketing</vt:lpstr>
      <vt:lpstr>MW Sales</vt:lpstr>
      <vt:lpstr>SW Team</vt:lpstr>
      <vt:lpstr>SW Clients</vt:lpstr>
      <vt:lpstr>SW Marketing</vt:lpstr>
      <vt:lpstr>SW Sales</vt:lpstr>
      <vt:lpstr>NW Team</vt:lpstr>
      <vt:lpstr>NW Clients</vt:lpstr>
      <vt:lpstr>NW Marketing</vt:lpstr>
      <vt:lpstr>NW Sales</vt:lpstr>
      <vt:lpstr>FW Team</vt:lpstr>
      <vt:lpstr>FW Clients</vt:lpstr>
      <vt:lpstr>FW Marketing</vt:lpstr>
      <vt:lpstr>FW 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Claudio</cp:lastModifiedBy>
  <cp:lastPrinted>2021-01-26T20:13:18Z</cp:lastPrinted>
  <dcterms:created xsi:type="dcterms:W3CDTF">2011-09-21T07:30:58Z</dcterms:created>
  <dcterms:modified xsi:type="dcterms:W3CDTF">2021-01-26T20:15:01Z</dcterms:modified>
</cp:coreProperties>
</file>